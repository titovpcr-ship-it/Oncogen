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оссия" sheetId="1" state="visible" r:id="rId3"/>
    <sheet name="Мир топ-20" sheetId="2" state="visible" r:id="rId4"/>
    <sheet name="Источники" sheetId="3" state="visible" r:id="rId5"/>
  </sheets>
  <definedNames>
    <definedName function="false" hidden="true" localSheetId="0" name="_xlnm._FilterDatabase" vbProcedure="false">Россия!$A$5:$O$25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13" authorId="0">
      <text>
        <r>
          <rPr>
            <sz val="10"/>
            <rFont val="Arial"/>
            <family val="2"/>
          </rPr>
          <t xml:space="preserve">Ozon, раздел «Импортные виниловые пластинки», цена со скидкой, 24.10.2026 (было 8 990 ₽).</t>
        </r>
      </text>
    </comment>
    <comment ref="L13" authorId="0">
      <text>
        <r>
          <rPr>
            <sz val="10"/>
            <rFont val="Arial"/>
            <family val="2"/>
          </rPr>
          <t xml:space="preserve">Ozon: рейтинг 4,9, 28 отзывов, 24.10.2026.</t>
        </r>
      </text>
    </comment>
  </commentList>
</comments>
</file>

<file path=xl/sharedStrings.xml><?xml version="1.0" encoding="utf-8"?>
<sst xmlns="http://schemas.openxmlformats.org/spreadsheetml/2006/main" count="266" uniqueCount="184">
  <si>
    <t xml:space="preserve">Иностранный винил: лидеры продаж в России по упоминаниям маркетплейсов (2021–2026)</t>
  </si>
  <si>
    <t xml:space="preserve">Это НЕ рейтинг по тиражам: публичных ранжированных данных по альбомам в РФ нет. Порядок = сила подтверждения. Группа A — площадка назвала сам альбом; группа B — названа только группа/артист, альбом выбран мной (предположение).</t>
  </si>
  <si>
    <t xml:space="preserve">Жёлтые ячейки (I–M) — для заполнения вручную: цены и число отзывов с карточек WB/Ozon, цена на Авито. Пример заполнения — строка Nirvana (Ozon, данные 24.10.2026). Столбцы N и O считаются формулами.</t>
  </si>
  <si>
    <t xml:space="preserve">#</t>
  </si>
  <si>
    <t xml:space="preserve">Группа</t>
  </si>
  <si>
    <t xml:space="preserve">Артист</t>
  </si>
  <si>
    <t xml:space="preserve">Альбом</t>
  </si>
  <si>
    <t xml:space="preserve">Год</t>
  </si>
  <si>
    <t xml:space="preserve">Где назван лидером (площадка, период)</t>
  </si>
  <si>
    <t xml:space="preserve">Discogs (master)</t>
  </si>
  <si>
    <t xml:space="preserve">Альбом подтверждён?</t>
  </si>
  <si>
    <t xml:space="preserve">Цена WB, ₽</t>
  </si>
  <si>
    <t xml:space="preserve">Отзывы WB</t>
  </si>
  <si>
    <t xml:space="preserve">Цена Ozon, ₽</t>
  </si>
  <si>
    <t xml:space="preserve">Отзывы Ozon</t>
  </si>
  <si>
    <t xml:space="preserve">Цена Авито, ₽</t>
  </si>
  <si>
    <t xml:space="preserve">Отзывы WB+Ozon</t>
  </si>
  <si>
    <t xml:space="preserve">Место по отзывам</t>
  </si>
  <si>
    <t xml:space="preserve">A</t>
  </si>
  <si>
    <t xml:space="preserve">Michael Jackson</t>
  </si>
  <si>
    <t xml:space="preserve">Thriller</t>
  </si>
  <si>
    <t xml:space="preserve">WB, 1-е полуг. 2026 (рост после байопика); Яндекс Маркет 2026 — артист</t>
  </si>
  <si>
    <t xml:space="preserve">discogs.com/master/8883</t>
  </si>
  <si>
    <t xml:space="preserve">Да</t>
  </si>
  <si>
    <t xml:space="preserve">Lana Del Rey</t>
  </si>
  <si>
    <t xml:space="preserve">Born to Die</t>
  </si>
  <si>
    <t xml:space="preserve">WB, 1-е полуг. 2026; Ozon 2026 — артист</t>
  </si>
  <si>
    <t xml:space="preserve">discogs.com/master/403952</t>
  </si>
  <si>
    <t xml:space="preserve">Various</t>
  </si>
  <si>
    <t xml:space="preserve">Pulp Fiction (OST)</t>
  </si>
  <si>
    <t xml:space="preserve">WB, 1-е полуг. 2026</t>
  </si>
  <si>
    <t xml:space="preserve">discogs.com/master/17468</t>
  </si>
  <si>
    <t xml:space="preserve">Adele</t>
  </si>
  <si>
    <t xml:space="preserve">30</t>
  </si>
  <si>
    <t xml:space="preserve">WB, июль 2024</t>
  </si>
  <si>
    <t xml:space="preserve">discogs.com/master/2383843</t>
  </si>
  <si>
    <t xml:space="preserve">Linkin Park</t>
  </si>
  <si>
    <t xml:space="preserve">Hybrid Theory</t>
  </si>
  <si>
    <t xml:space="preserve">WB, 2022 («дебютный альбом»)</t>
  </si>
  <si>
    <t xml:space="preserve">discogs.com/master/74519</t>
  </si>
  <si>
    <t xml:space="preserve">B</t>
  </si>
  <si>
    <t xml:space="preserve">Pink Floyd</t>
  </si>
  <si>
    <t xml:space="preserve">The Dark Side of the Moon</t>
  </si>
  <si>
    <t xml:space="preserve">Авито 2021 (№1), Ozon, VinylMarket 2022, Яндекс Маркет 2026</t>
  </si>
  <si>
    <t xml:space="preserve">discogs.com/master/10362</t>
  </si>
  <si>
    <t xml:space="preserve">Нет — выбор альбома мой</t>
  </si>
  <si>
    <t xml:space="preserve">Queen</t>
  </si>
  <si>
    <t xml:space="preserve">Greatest Hits</t>
  </si>
  <si>
    <t xml:space="preserve">Авито 2021 (№2), Ozon 2026, WB 2026</t>
  </si>
  <si>
    <t xml:space="preserve">discogs.com/master/7941</t>
  </si>
  <si>
    <t xml:space="preserve">Nirvana</t>
  </si>
  <si>
    <t xml:space="preserve">Nevermind</t>
  </si>
  <si>
    <t xml:space="preserve">VinylMarket 2022, WB 2026; Ozon «Импорт» — в первых карточках</t>
  </si>
  <si>
    <t xml:space="preserve">discogs.com/master/13814</t>
  </si>
  <si>
    <t xml:space="preserve">Частично (карточка Ozon)</t>
  </si>
  <si>
    <t xml:space="preserve">Depeche Mode</t>
  </si>
  <si>
    <t xml:space="preserve">Violator</t>
  </si>
  <si>
    <t xml:space="preserve">Авито 2021, VinylMarket 2022, Яндекс Маркет 2026</t>
  </si>
  <si>
    <t xml:space="preserve">discogs.com/master/18080</t>
  </si>
  <si>
    <t xml:space="preserve">Metallica</t>
  </si>
  <si>
    <t xml:space="preserve">Metallica (Black Album)</t>
  </si>
  <si>
    <t xml:space="preserve">Авито 2021 (№3)</t>
  </si>
  <si>
    <t xml:space="preserve">discogs.com/master/6651</t>
  </si>
  <si>
    <t xml:space="preserve">The Beatles</t>
  </si>
  <si>
    <t xml:space="preserve">Abbey Road</t>
  </si>
  <si>
    <t xml:space="preserve">VinylMarket 2022</t>
  </si>
  <si>
    <t xml:space="preserve">discogs.com/master/24047</t>
  </si>
  <si>
    <t xml:space="preserve">Rammstein</t>
  </si>
  <si>
    <t xml:space="preserve">Mutter</t>
  </si>
  <si>
    <t xml:space="preserve">Ozon 2026</t>
  </si>
  <si>
    <t xml:space="preserve">discogs.com/master/95285</t>
  </si>
  <si>
    <t xml:space="preserve">Sade</t>
  </si>
  <si>
    <t xml:space="preserve">Diamond Life</t>
  </si>
  <si>
    <t xml:space="preserve">Яндекс Маркет 2026</t>
  </si>
  <si>
    <t xml:space="preserve">discogs.com/master/43936</t>
  </si>
  <si>
    <t xml:space="preserve">ABBA</t>
  </si>
  <si>
    <t xml:space="preserve">Gold: Greatest Hits</t>
  </si>
  <si>
    <t xml:space="preserve">WB 2022 («альбомы ABBA»)</t>
  </si>
  <si>
    <t xml:space="preserve">discogs.com/master/12249</t>
  </si>
  <si>
    <t xml:space="preserve">Led Zeppelin</t>
  </si>
  <si>
    <t xml:space="preserve">IV</t>
  </si>
  <si>
    <t xml:space="preserve">Авито 2021</t>
  </si>
  <si>
    <t xml:space="preserve">discogs.com/master/4300</t>
  </si>
  <si>
    <t xml:space="preserve">Deep Purple</t>
  </si>
  <si>
    <t xml:space="preserve">Machine Head</t>
  </si>
  <si>
    <t xml:space="preserve">discogs.com/master/1843</t>
  </si>
  <si>
    <t xml:space="preserve">The Prodigy</t>
  </si>
  <si>
    <t xml:space="preserve">The Fat of the Land</t>
  </si>
  <si>
    <t xml:space="preserve">discogs.com/master/12165</t>
  </si>
  <si>
    <t xml:space="preserve">Modern Talking</t>
  </si>
  <si>
    <t xml:space="preserve">The 1st Album</t>
  </si>
  <si>
    <t xml:space="preserve">discogs.com/master/23667</t>
  </si>
  <si>
    <t xml:space="preserve">Billie Eilish</t>
  </si>
  <si>
    <t xml:space="preserve">When We All Fall Asleep, Where Do We Go?</t>
  </si>
  <si>
    <t xml:space="preserve">VinylMarket 2022 (современные)</t>
  </si>
  <si>
    <t xml:space="preserve">discogs.com/master/1524311</t>
  </si>
  <si>
    <t xml:space="preserve">Adriano Celentano</t>
  </si>
  <si>
    <t xml:space="preserve">Сборник хитов (какой — не указано)</t>
  </si>
  <si>
    <t xml:space="preserve">WB 2022</t>
  </si>
  <si>
    <t xml:space="preserve">discogs.com/artist/36543</t>
  </si>
  <si>
    <t xml:space="preserve">Нет — ссылка на артиста</t>
  </si>
  <si>
    <t xml:space="preserve">Самые продаваемые альбомы в мире (все форматы)</t>
  </si>
  <si>
    <t xml:space="preserve">Источник: Wikipedia, List of best-selling albums (заявленные / сертифицированные продажи, млн). 💿 = продавался в основном на CD.</t>
  </si>
  <si>
    <t xml:space="preserve">Эпоха</t>
  </si>
  <si>
    <t xml:space="preserve">Заявлено, млн</t>
  </si>
  <si>
    <t xml:space="preserve">Сертифицировано, млн</t>
  </si>
  <si>
    <t xml:space="preserve">Доля сертифицир.</t>
  </si>
  <si>
    <t xml:space="preserve">LP</t>
  </si>
  <si>
    <t xml:space="preserve">AC/DC</t>
  </si>
  <si>
    <t xml:space="preserve">Back in Black</t>
  </si>
  <si>
    <t xml:space="preserve">discogs.com/master/8471</t>
  </si>
  <si>
    <t xml:space="preserve">Whitney Houston</t>
  </si>
  <si>
    <t xml:space="preserve">The Bodyguard (OST)</t>
  </si>
  <si>
    <t xml:space="preserve">💿 CD</t>
  </si>
  <si>
    <t xml:space="preserve">discogs.com/master/61126</t>
  </si>
  <si>
    <t xml:space="preserve">Eagles</t>
  </si>
  <si>
    <t xml:space="preserve">Their Greatest Hits 1971–1975</t>
  </si>
  <si>
    <t xml:space="preserve">discogs.com/master/59509</t>
  </si>
  <si>
    <t xml:space="preserve">Hotel California</t>
  </si>
  <si>
    <t xml:space="preserve">discogs.com/master/59501</t>
  </si>
  <si>
    <t xml:space="preserve">Shania Twain</t>
  </si>
  <si>
    <t xml:space="preserve">Come On Over</t>
  </si>
  <si>
    <t xml:space="preserve">discogs.com/master/132556</t>
  </si>
  <si>
    <t xml:space="preserve">Fleetwood Mac</t>
  </si>
  <si>
    <t xml:space="preserve">Rumours</t>
  </si>
  <si>
    <t xml:space="preserve">discogs.com/master/38722</t>
  </si>
  <si>
    <t xml:space="preserve">Meat Loaf</t>
  </si>
  <si>
    <t xml:space="preserve">Bat Out of Hell</t>
  </si>
  <si>
    <t xml:space="preserve">discogs.com/master/23069</t>
  </si>
  <si>
    <t xml:space="preserve">Bee Gees / Various</t>
  </si>
  <si>
    <t xml:space="preserve">Saturday Night Fever (OST)</t>
  </si>
  <si>
    <t xml:space="preserve">discogs.com/master/23443</t>
  </si>
  <si>
    <t xml:space="preserve">Bad</t>
  </si>
  <si>
    <t xml:space="preserve">LP/CD</t>
  </si>
  <si>
    <t xml:space="preserve">discogs.com/master/8517</t>
  </si>
  <si>
    <t xml:space="preserve">Alanis Morissette</t>
  </si>
  <si>
    <t xml:space="preserve">Jagged Little Pill</t>
  </si>
  <si>
    <t xml:space="preserve">discogs.com/master/31513</t>
  </si>
  <si>
    <t xml:space="preserve">Dirty Dancing (OST)</t>
  </si>
  <si>
    <t xml:space="preserve">discogs.com/master/58585</t>
  </si>
  <si>
    <t xml:space="preserve">Céline Dion</t>
  </si>
  <si>
    <t xml:space="preserve">Falling into You</t>
  </si>
  <si>
    <t xml:space="preserve">discogs.com/master/134816</t>
  </si>
  <si>
    <t xml:space="preserve">Dangerous</t>
  </si>
  <si>
    <t xml:space="preserve">discogs.com/master/14641</t>
  </si>
  <si>
    <t xml:space="preserve">21</t>
  </si>
  <si>
    <t xml:space="preserve">💿 CD/цифра</t>
  </si>
  <si>
    <t xml:space="preserve">discogs.com/master/303567</t>
  </si>
  <si>
    <t xml:space="preserve">1</t>
  </si>
  <si>
    <t xml:space="preserve">discogs.com/master/447254</t>
  </si>
  <si>
    <t xml:space="preserve">Let's Talk About Love</t>
  </si>
  <si>
    <t xml:space="preserve">discogs.com/master/133278</t>
  </si>
  <si>
    <t xml:space="preserve">22</t>
  </si>
  <si>
    <t xml:space="preserve">Nevermind (за топ-20: 22-е место, 30 млн)</t>
  </si>
  <si>
    <t xml:space="preserve">Источник</t>
  </si>
  <si>
    <t xml:space="preserve">Что взято</t>
  </si>
  <si>
    <t xml:space="preserve">Дата</t>
  </si>
  <si>
    <t xml:space="preserve">Ссылка</t>
  </si>
  <si>
    <t xml:space="preserve">Рамблер/Финансы (данные WB, Яндекс Маркет, Ozon)</t>
  </si>
  <si>
    <t xml:space="preserve">Лидеры 1-го полуг. 2026: Thriller, Born to Die, Pulp Fiction (WB); Depeche Mode, Sade, MJ, Pink Floyd (ЯМ); Queen, Lana Del Rey, Rammstein (Ozon)</t>
  </si>
  <si>
    <t xml:space="preserve">18.08.2026</t>
  </si>
  <si>
    <t xml:space="preserve">https://finance.rambler.ru/money/56926732-veduschie-marketpleysy-raskryli-dannye-prodazh-vinilovyh-plastinok/</t>
  </si>
  <si>
    <t xml:space="preserve">Т—Ж: спрос на виниловые пластинки</t>
  </si>
  <si>
    <t xml:space="preserve">Авито 2021 (Pink Floyd, Queen, Metallica + др.), VinylMarket 2022, WB 2022/2024, Ozon</t>
  </si>
  <si>
    <t xml:space="preserve">—</t>
  </si>
  <si>
    <t xml:space="preserve">https://t-j.ru/vinil-stat/</t>
  </si>
  <si>
    <t xml:space="preserve">Коммерсантъ: «Тысяча пластинок всех времен»</t>
  </si>
  <si>
    <t xml:space="preserve">Рост рынка (Такском, Авито, WB); топ WB 2026 — отечественные релизы</t>
  </si>
  <si>
    <t xml:space="preserve">08.04.2026</t>
  </si>
  <si>
    <t xml:space="preserve">https://www.kommersant.ru/doc/8556506</t>
  </si>
  <si>
    <t xml:space="preserve">Ozon: импортные виниловые пластинки</t>
  </si>
  <si>
    <t xml:space="preserve">Карточка Nirvana — Nevermind: 3 892 ₽, 4,9★, 28 отзывов</t>
  </si>
  <si>
    <t xml:space="preserve">24.10.2026</t>
  </si>
  <si>
    <t xml:space="preserve">https://www.ozon.ru/category/importnye-vinilovye-plastinki/</t>
  </si>
  <si>
    <t xml:space="preserve">Wikipedia: List of best-selling albums</t>
  </si>
  <si>
    <t xml:space="preserve">Лист «Мир топ-20»</t>
  </si>
  <si>
    <t xml:space="preserve">https://en.wikipedia.org/wiki/List_of_best-selling_albums</t>
  </si>
  <si>
    <t xml:space="preserve">Official Charts: топ-40 винила XXI века (релизы 1970–99, UK)</t>
  </si>
  <si>
    <t xml:space="preserve">Nevermind — №3 по продажам винила в UK с 2000 г.</t>
  </si>
  <si>
    <t xml:space="preserve">02.05.2024</t>
  </si>
  <si>
    <t xml:space="preserve">https://www.officialcharts.com/chart-news/the-official-top-40-best-selling-vinyl-albums-of-the-21st-century-from-the-1970s-80s-and/</t>
  </si>
  <si>
    <t xml:space="preserve">Discogs</t>
  </si>
  <si>
    <t xml:space="preserve">Master ID проверены через поиск и страницы релизов</t>
  </si>
  <si>
    <t xml:space="preserve">https://www.discogs.com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</si>
</sst>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11"/>
      <color rgb="FF7F7F7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discogs.com/master/8883-Michael-Jackson-Thriller" TargetMode="External"/><Relationship Id="rId3" Type="http://schemas.openxmlformats.org/officeDocument/2006/relationships/hyperlink" Target="https://www.discogs.com/master/403952-Lana-Del-Rey-Born-To-Die" TargetMode="External"/><Relationship Id="rId4" Type="http://schemas.openxmlformats.org/officeDocument/2006/relationships/hyperlink" Target="https://www.discogs.com/master/17468-Various-Pulp-Fiction-Music-From-The-Motion-Picture" TargetMode="External"/><Relationship Id="rId5" Type="http://schemas.openxmlformats.org/officeDocument/2006/relationships/hyperlink" Target="https://www.discogs.com/master/2383843-Adele-30" TargetMode="External"/><Relationship Id="rId6" Type="http://schemas.openxmlformats.org/officeDocument/2006/relationships/hyperlink" Target="https://www.discogs.com/master/74519-Linkin-Park-Hybrid-Theory" TargetMode="External"/><Relationship Id="rId7" Type="http://schemas.openxmlformats.org/officeDocument/2006/relationships/hyperlink" Target="https://www.discogs.com/master/10362-Pink-Floyd-The-Dark-Side-Of-The-Moon" TargetMode="External"/><Relationship Id="rId8" Type="http://schemas.openxmlformats.org/officeDocument/2006/relationships/hyperlink" Target="https://www.discogs.com/master/7941-Queen-Greatest-Hits" TargetMode="External"/><Relationship Id="rId9" Type="http://schemas.openxmlformats.org/officeDocument/2006/relationships/hyperlink" Target="https://www.discogs.com/master/13814-Nirvana-Nevermind" TargetMode="External"/><Relationship Id="rId10" Type="http://schemas.openxmlformats.org/officeDocument/2006/relationships/hyperlink" Target="https://www.discogs.com/master/18080-Depeche-Mode-Violator" TargetMode="External"/><Relationship Id="rId11" Type="http://schemas.openxmlformats.org/officeDocument/2006/relationships/hyperlink" Target="https://www.discogs.com/master/6651-Metallica-Metallica" TargetMode="External"/><Relationship Id="rId12" Type="http://schemas.openxmlformats.org/officeDocument/2006/relationships/hyperlink" Target="https://www.discogs.com/master/24047" TargetMode="External"/><Relationship Id="rId13" Type="http://schemas.openxmlformats.org/officeDocument/2006/relationships/hyperlink" Target="https://www.discogs.com/master/95285" TargetMode="External"/><Relationship Id="rId14" Type="http://schemas.openxmlformats.org/officeDocument/2006/relationships/hyperlink" Target="https://www.discogs.com/master/43936" TargetMode="External"/><Relationship Id="rId15" Type="http://schemas.openxmlformats.org/officeDocument/2006/relationships/hyperlink" Target="https://www.discogs.com/master/12249-ABBA-Gold-Greatest-Hits" TargetMode="External"/><Relationship Id="rId16" Type="http://schemas.openxmlformats.org/officeDocument/2006/relationships/hyperlink" Target="https://www.discogs.com/master/4300-Led-Zeppelin-Untitled-" TargetMode="External"/><Relationship Id="rId17" Type="http://schemas.openxmlformats.org/officeDocument/2006/relationships/hyperlink" Target="https://www.discogs.com/master/1843-Deep-Purple-Machine-Head" TargetMode="External"/><Relationship Id="rId18" Type="http://schemas.openxmlformats.org/officeDocument/2006/relationships/hyperlink" Target="https://www.discogs.com/master/12165-Prodigy-The-Fat-Of-The-Land" TargetMode="External"/><Relationship Id="rId19" Type="http://schemas.openxmlformats.org/officeDocument/2006/relationships/hyperlink" Target="https://www.discogs.com/master/23667-Modern-Talking-The-1st-Album" TargetMode="External"/><Relationship Id="rId20" Type="http://schemas.openxmlformats.org/officeDocument/2006/relationships/hyperlink" Target="https://www.discogs.com/master/1524311-Billie-Eilish-When-We-All-Fall-Asleep-Where-Do-We-Go" TargetMode="External"/><Relationship Id="rId21" Type="http://schemas.openxmlformats.org/officeDocument/2006/relationships/hyperlink" Target="https://www.discogs.com/artist/36543-Adriano-Celentano" TargetMode="External"/><Relationship Id="rId22" Type="http://schemas.openxmlformats.org/officeDocument/2006/relationships/drawing" Target="../drawings/drawing1.xml"/><Relationship Id="rId2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discogs.com/master/8883-Michael-Jackson-Thriller" TargetMode="External"/><Relationship Id="rId2" Type="http://schemas.openxmlformats.org/officeDocument/2006/relationships/hyperlink" Target="https://www.discogs.com/master/8471-ACDC-Back-In-Black" TargetMode="External"/><Relationship Id="rId3" Type="http://schemas.openxmlformats.org/officeDocument/2006/relationships/hyperlink" Target="https://www.discogs.com/master/61126-Various-The-Bodyguard-Original-Soundtrack-Album" TargetMode="External"/><Relationship Id="rId4" Type="http://schemas.openxmlformats.org/officeDocument/2006/relationships/hyperlink" Target="https://www.discogs.com/master/10362-Pink-Floyd-The-Dark-Side-Of-The-Moon" TargetMode="External"/><Relationship Id="rId5" Type="http://schemas.openxmlformats.org/officeDocument/2006/relationships/hyperlink" Target="https://discogs.com/master/59509" TargetMode="External"/><Relationship Id="rId6" Type="http://schemas.openxmlformats.org/officeDocument/2006/relationships/hyperlink" Target="https://www.discogs.com/master/59501-Eagles-Hotel-California" TargetMode="External"/><Relationship Id="rId7" Type="http://schemas.openxmlformats.org/officeDocument/2006/relationships/hyperlink" Target="https://www.discogs.com/master/132556-Shania-Twain-Come-On-Over" TargetMode="External"/><Relationship Id="rId8" Type="http://schemas.openxmlformats.org/officeDocument/2006/relationships/hyperlink" Target="https://www.discogs.com/master/38722-Fleetwood-Mac-Rumours" TargetMode="External"/><Relationship Id="rId9" Type="http://schemas.openxmlformats.org/officeDocument/2006/relationships/hyperlink" Target="https://www.discogs.com/master/23069-Meat-Loaf-Bat-Out-Of-Hell" TargetMode="External"/><Relationship Id="rId10" Type="http://schemas.openxmlformats.org/officeDocument/2006/relationships/hyperlink" Target="https://www.discogs.com/master/23443-Various-Saturday-Night-Fever-The-Original-Movie-Sound-Track" TargetMode="External"/><Relationship Id="rId11" Type="http://schemas.openxmlformats.org/officeDocument/2006/relationships/hyperlink" Target="https://www.discogs.com/master/4300-Led-Zeppelin-Untitled-" TargetMode="External"/><Relationship Id="rId12" Type="http://schemas.openxmlformats.org/officeDocument/2006/relationships/hyperlink" Target="https://www.discogs.com/master/8517-Michael-Jackson-Bad" TargetMode="External"/><Relationship Id="rId13" Type="http://schemas.openxmlformats.org/officeDocument/2006/relationships/hyperlink" Target="https://www.discogs.com/master/31513-Alanis-Morissette-Jagged-Little-Pill" TargetMode="External"/><Relationship Id="rId14" Type="http://schemas.openxmlformats.org/officeDocument/2006/relationships/hyperlink" Target="https://www.discogs.com/master/58585-Various-Dirty-Dancing-Selections-From-The-Original-Soundtrack-From-The-Vestron-Motion-Picture" TargetMode="External"/><Relationship Id="rId15" Type="http://schemas.openxmlformats.org/officeDocument/2006/relationships/hyperlink" Target="https://discogs.com/master/134816" TargetMode="External"/><Relationship Id="rId16" Type="http://schemas.openxmlformats.org/officeDocument/2006/relationships/hyperlink" Target="https://www.discogs.com/master/14641-Michael-Jackson-Dangerous" TargetMode="External"/><Relationship Id="rId17" Type="http://schemas.openxmlformats.org/officeDocument/2006/relationships/hyperlink" Target="https://www.discogs.com/master/303567-Adele-21" TargetMode="External"/><Relationship Id="rId18" Type="http://schemas.openxmlformats.org/officeDocument/2006/relationships/hyperlink" Target="https://www.discogs.com/master/447254-The-Beatles-1" TargetMode="External"/><Relationship Id="rId19" Type="http://schemas.openxmlformats.org/officeDocument/2006/relationships/hyperlink" Target="https://www.discogs.com/master/6651-Metallica-Metallica" TargetMode="External"/><Relationship Id="rId20" Type="http://schemas.openxmlformats.org/officeDocument/2006/relationships/hyperlink" Target="https://www.discogs.com/master/133278-Celine-Dion-Lets-Talk-About-Love" TargetMode="External"/><Relationship Id="rId21" Type="http://schemas.openxmlformats.org/officeDocument/2006/relationships/hyperlink" Target="https://www.discogs.com/master/13814-Nirvana-Nevermind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finance.rambler.ru/money/56926732-veduschie-marketpleysy-raskryli-dannye-prodazh-vinilovyh-plastinok/" TargetMode="External"/><Relationship Id="rId2" Type="http://schemas.openxmlformats.org/officeDocument/2006/relationships/hyperlink" Target="https://t-j.ru/vinil-stat/" TargetMode="External"/><Relationship Id="rId3" Type="http://schemas.openxmlformats.org/officeDocument/2006/relationships/hyperlink" Target="https://www.kommersant.ru/doc/8556506" TargetMode="External"/><Relationship Id="rId4" Type="http://schemas.openxmlformats.org/officeDocument/2006/relationships/hyperlink" Target="https://www.ozon.ru/category/importnye-vinilovye-plastinki/" TargetMode="External"/><Relationship Id="rId5" Type="http://schemas.openxmlformats.org/officeDocument/2006/relationships/hyperlink" Target="https://en.wikipedia.org/wiki/List_of_best-selling_albums" TargetMode="External"/><Relationship Id="rId6" Type="http://schemas.openxmlformats.org/officeDocument/2006/relationships/hyperlink" Target="https://www.officialcharts.com/chart-news/the-official-top-40-best-selling-vinyl-albums-of-the-21st-century-from-the-1970s-80s-and/" TargetMode="External"/><Relationship Id="rId7" Type="http://schemas.openxmlformats.org/officeDocument/2006/relationships/hyperlink" Target="https://www.discogs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7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6"/>
    <col collapsed="false" customWidth="true" hidden="false" outlineLevel="0" max="6" min="6" style="0" width="42"/>
    <col collapsed="false" customWidth="true" hidden="false" outlineLevel="0" max="7" min="7" style="0" width="24"/>
    <col collapsed="false" customWidth="true" hidden="false" outlineLevel="0" max="8" min="8" style="0" width="22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4" min="13" style="0" width="12"/>
    <col collapsed="false" customWidth="true" hidden="false" outlineLevel="0" max="15" min="15" style="0" width="10"/>
  </cols>
  <sheetData>
    <row r="1" customFormat="false" ht="16.15" hidden="false" customHeight="false" outlineLevel="0" collapsed="false">
      <c r="A1" s="1" t="s">
        <v>0</v>
      </c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0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5" customFormat="false" ht="52.2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</row>
    <row r="6" customFormat="false" ht="26.85" hidden="false" customHeight="false" outlineLevel="0" collapsed="false">
      <c r="A6" s="5" t="n">
        <v>1</v>
      </c>
      <c r="B6" s="5" t="s">
        <v>18</v>
      </c>
      <c r="C6" s="5" t="s">
        <v>19</v>
      </c>
      <c r="D6" s="5" t="s">
        <v>20</v>
      </c>
      <c r="E6" s="5" t="n">
        <v>1982</v>
      </c>
      <c r="F6" s="5" t="s">
        <v>21</v>
      </c>
      <c r="G6" s="6" t="s">
        <v>22</v>
      </c>
      <c r="H6" s="5" t="s">
        <v>23</v>
      </c>
      <c r="I6" s="7"/>
      <c r="J6" s="7"/>
      <c r="K6" s="7"/>
      <c r="L6" s="7"/>
      <c r="M6" s="7"/>
      <c r="N6" s="8" t="str">
        <f aca="false">IF(COUNT(J6,L6)=0,"",SUM(J6,L6))</f>
        <v/>
      </c>
      <c r="O6" s="9" t="str">
        <f aca="false">IF(N6="","",RANK(N6,$N$6:$N$25))</f>
        <v/>
      </c>
    </row>
    <row r="7" customFormat="false" ht="15" hidden="false" customHeight="false" outlineLevel="0" collapsed="false">
      <c r="A7" s="5" t="n">
        <v>2</v>
      </c>
      <c r="B7" s="5" t="s">
        <v>18</v>
      </c>
      <c r="C7" s="5" t="s">
        <v>24</v>
      </c>
      <c r="D7" s="5" t="s">
        <v>25</v>
      </c>
      <c r="E7" s="5" t="n">
        <v>2012</v>
      </c>
      <c r="F7" s="5" t="s">
        <v>26</v>
      </c>
      <c r="G7" s="6" t="s">
        <v>27</v>
      </c>
      <c r="H7" s="5" t="s">
        <v>23</v>
      </c>
      <c r="I7" s="7"/>
      <c r="J7" s="7"/>
      <c r="K7" s="7"/>
      <c r="L7" s="7"/>
      <c r="M7" s="7"/>
      <c r="N7" s="8" t="str">
        <f aca="false">IF(COUNT(J7,L7)=0,"",SUM(J7,L7))</f>
        <v/>
      </c>
      <c r="O7" s="9" t="str">
        <f aca="false">IF(N7="","",RANK(N7,$N$6:$N$25))</f>
        <v/>
      </c>
    </row>
    <row r="8" customFormat="false" ht="15" hidden="false" customHeight="false" outlineLevel="0" collapsed="false">
      <c r="A8" s="5" t="n">
        <v>3</v>
      </c>
      <c r="B8" s="5" t="s">
        <v>18</v>
      </c>
      <c r="C8" s="5" t="s">
        <v>28</v>
      </c>
      <c r="D8" s="5" t="s">
        <v>29</v>
      </c>
      <c r="E8" s="5" t="n">
        <v>1994</v>
      </c>
      <c r="F8" s="5" t="s">
        <v>30</v>
      </c>
      <c r="G8" s="6" t="s">
        <v>31</v>
      </c>
      <c r="H8" s="5" t="s">
        <v>23</v>
      </c>
      <c r="I8" s="7"/>
      <c r="J8" s="7"/>
      <c r="K8" s="7"/>
      <c r="L8" s="7"/>
      <c r="M8" s="7"/>
      <c r="N8" s="8" t="str">
        <f aca="false">IF(COUNT(J8,L8)=0,"",SUM(J8,L8))</f>
        <v/>
      </c>
      <c r="O8" s="9" t="str">
        <f aca="false">IF(N8="","",RANK(N8,$N$6:$N$25))</f>
        <v/>
      </c>
    </row>
    <row r="9" customFormat="false" ht="15" hidden="false" customHeight="false" outlineLevel="0" collapsed="false">
      <c r="A9" s="5" t="n">
        <v>4</v>
      </c>
      <c r="B9" s="5" t="s">
        <v>18</v>
      </c>
      <c r="C9" s="5" t="s">
        <v>32</v>
      </c>
      <c r="D9" s="5" t="s">
        <v>33</v>
      </c>
      <c r="E9" s="5" t="n">
        <v>2021</v>
      </c>
      <c r="F9" s="5" t="s">
        <v>34</v>
      </c>
      <c r="G9" s="6" t="s">
        <v>35</v>
      </c>
      <c r="H9" s="5" t="s">
        <v>23</v>
      </c>
      <c r="I9" s="7"/>
      <c r="J9" s="7"/>
      <c r="K9" s="7"/>
      <c r="L9" s="7"/>
      <c r="M9" s="7"/>
      <c r="N9" s="8" t="str">
        <f aca="false">IF(COUNT(J9,L9)=0,"",SUM(J9,L9))</f>
        <v/>
      </c>
      <c r="O9" s="9" t="str">
        <f aca="false">IF(N9="","",RANK(N9,$N$6:$N$25))</f>
        <v/>
      </c>
    </row>
    <row r="10" customFormat="false" ht="15" hidden="false" customHeight="false" outlineLevel="0" collapsed="false">
      <c r="A10" s="5" t="n">
        <v>5</v>
      </c>
      <c r="B10" s="5" t="s">
        <v>18</v>
      </c>
      <c r="C10" s="5" t="s">
        <v>36</v>
      </c>
      <c r="D10" s="5" t="s">
        <v>37</v>
      </c>
      <c r="E10" s="5" t="n">
        <v>2000</v>
      </c>
      <c r="F10" s="5" t="s">
        <v>38</v>
      </c>
      <c r="G10" s="6" t="s">
        <v>39</v>
      </c>
      <c r="H10" s="5" t="s">
        <v>23</v>
      </c>
      <c r="I10" s="7"/>
      <c r="J10" s="7"/>
      <c r="K10" s="7"/>
      <c r="L10" s="7"/>
      <c r="M10" s="7"/>
      <c r="N10" s="8" t="str">
        <f aca="false">IF(COUNT(J10,L10)=0,"",SUM(J10,L10))</f>
        <v/>
      </c>
      <c r="O10" s="9" t="str">
        <f aca="false">IF(N10="","",RANK(N10,$N$6:$N$25))</f>
        <v/>
      </c>
    </row>
    <row r="11" customFormat="false" ht="26.85" hidden="false" customHeight="false" outlineLevel="0" collapsed="false">
      <c r="A11" s="10" t="n">
        <v>6</v>
      </c>
      <c r="B11" s="10" t="s">
        <v>40</v>
      </c>
      <c r="C11" s="10" t="s">
        <v>41</v>
      </c>
      <c r="D11" s="10" t="s">
        <v>42</v>
      </c>
      <c r="E11" s="10" t="n">
        <v>1973</v>
      </c>
      <c r="F11" s="10" t="s">
        <v>43</v>
      </c>
      <c r="G11" s="11" t="s">
        <v>44</v>
      </c>
      <c r="H11" s="10" t="s">
        <v>45</v>
      </c>
      <c r="I11" s="7"/>
      <c r="J11" s="7"/>
      <c r="K11" s="7"/>
      <c r="L11" s="7"/>
      <c r="M11" s="7"/>
      <c r="N11" s="8" t="str">
        <f aca="false">IF(COUNT(J11,L11)=0,"",SUM(J11,L11))</f>
        <v/>
      </c>
      <c r="O11" s="9" t="str">
        <f aca="false">IF(N11="","",RANK(N11,$N$6:$N$25))</f>
        <v/>
      </c>
    </row>
    <row r="12" customFormat="false" ht="26.85" hidden="false" customHeight="false" outlineLevel="0" collapsed="false">
      <c r="A12" s="10" t="n">
        <v>7</v>
      </c>
      <c r="B12" s="10" t="s">
        <v>40</v>
      </c>
      <c r="C12" s="10" t="s">
        <v>46</v>
      </c>
      <c r="D12" s="10" t="s">
        <v>47</v>
      </c>
      <c r="E12" s="10" t="n">
        <v>1981</v>
      </c>
      <c r="F12" s="10" t="s">
        <v>48</v>
      </c>
      <c r="G12" s="11" t="s">
        <v>49</v>
      </c>
      <c r="H12" s="10" t="s">
        <v>45</v>
      </c>
      <c r="I12" s="7"/>
      <c r="J12" s="7"/>
      <c r="K12" s="7"/>
      <c r="L12" s="7"/>
      <c r="M12" s="7"/>
      <c r="N12" s="8" t="str">
        <f aca="false">IF(COUNT(J12,L12)=0,"",SUM(J12,L12))</f>
        <v/>
      </c>
      <c r="O12" s="9" t="str">
        <f aca="false">IF(N12="","",RANK(N12,$N$6:$N$25))</f>
        <v/>
      </c>
    </row>
    <row r="13" customFormat="false" ht="26.85" hidden="false" customHeight="false" outlineLevel="0" collapsed="false">
      <c r="A13" s="10" t="n">
        <v>8</v>
      </c>
      <c r="B13" s="10" t="s">
        <v>40</v>
      </c>
      <c r="C13" s="10" t="s">
        <v>50</v>
      </c>
      <c r="D13" s="10" t="s">
        <v>51</v>
      </c>
      <c r="E13" s="10" t="n">
        <v>1991</v>
      </c>
      <c r="F13" s="10" t="s">
        <v>52</v>
      </c>
      <c r="G13" s="11" t="s">
        <v>53</v>
      </c>
      <c r="H13" s="10" t="s">
        <v>54</v>
      </c>
      <c r="I13" s="7"/>
      <c r="J13" s="7"/>
      <c r="K13" s="7" t="n">
        <v>3892</v>
      </c>
      <c r="L13" s="7" t="n">
        <v>28</v>
      </c>
      <c r="M13" s="7"/>
      <c r="N13" s="8" t="n">
        <f aca="false">IF(COUNT(J13,L13)=0,"",SUM(J13,L13))</f>
        <v>28</v>
      </c>
      <c r="O13" s="9" t="n">
        <f aca="false">IF(N13="","",RANK(N13,$N$6:$N$25))</f>
        <v>1</v>
      </c>
    </row>
    <row r="14" customFormat="false" ht="26.85" hidden="false" customHeight="false" outlineLevel="0" collapsed="false">
      <c r="A14" s="10" t="n">
        <v>9</v>
      </c>
      <c r="B14" s="10" t="s">
        <v>40</v>
      </c>
      <c r="C14" s="10" t="s">
        <v>55</v>
      </c>
      <c r="D14" s="10" t="s">
        <v>56</v>
      </c>
      <c r="E14" s="10" t="n">
        <v>1990</v>
      </c>
      <c r="F14" s="10" t="s">
        <v>57</v>
      </c>
      <c r="G14" s="11" t="s">
        <v>58</v>
      </c>
      <c r="H14" s="10" t="s">
        <v>45</v>
      </c>
      <c r="I14" s="7"/>
      <c r="J14" s="7"/>
      <c r="K14" s="7"/>
      <c r="L14" s="7"/>
      <c r="M14" s="7"/>
      <c r="N14" s="8" t="str">
        <f aca="false">IF(COUNT(J14,L14)=0,"",SUM(J14,L14))</f>
        <v/>
      </c>
      <c r="O14" s="9" t="str">
        <f aca="false">IF(N14="","",RANK(N14,$N$6:$N$25))</f>
        <v/>
      </c>
    </row>
    <row r="15" customFormat="false" ht="26.85" hidden="false" customHeight="false" outlineLevel="0" collapsed="false">
      <c r="A15" s="10" t="n">
        <v>10</v>
      </c>
      <c r="B15" s="10" t="s">
        <v>40</v>
      </c>
      <c r="C15" s="10" t="s">
        <v>59</v>
      </c>
      <c r="D15" s="10" t="s">
        <v>60</v>
      </c>
      <c r="E15" s="10" t="n">
        <v>1991</v>
      </c>
      <c r="F15" s="10" t="s">
        <v>61</v>
      </c>
      <c r="G15" s="11" t="s">
        <v>62</v>
      </c>
      <c r="H15" s="10" t="s">
        <v>45</v>
      </c>
      <c r="I15" s="7"/>
      <c r="J15" s="7"/>
      <c r="K15" s="7"/>
      <c r="L15" s="7"/>
      <c r="M15" s="7"/>
      <c r="N15" s="8" t="str">
        <f aca="false">IF(COUNT(J15,L15)=0,"",SUM(J15,L15))</f>
        <v/>
      </c>
      <c r="O15" s="9" t="str">
        <f aca="false">IF(N15="","",RANK(N15,$N$6:$N$25))</f>
        <v/>
      </c>
    </row>
    <row r="16" customFormat="false" ht="26.85" hidden="false" customHeight="false" outlineLevel="0" collapsed="false">
      <c r="A16" s="10" t="n">
        <v>11</v>
      </c>
      <c r="B16" s="10" t="s">
        <v>40</v>
      </c>
      <c r="C16" s="10" t="s">
        <v>63</v>
      </c>
      <c r="D16" s="10" t="s">
        <v>64</v>
      </c>
      <c r="E16" s="10" t="n">
        <v>1969</v>
      </c>
      <c r="F16" s="10" t="s">
        <v>65</v>
      </c>
      <c r="G16" s="11" t="s">
        <v>66</v>
      </c>
      <c r="H16" s="10" t="s">
        <v>45</v>
      </c>
      <c r="I16" s="7"/>
      <c r="J16" s="7"/>
      <c r="K16" s="7"/>
      <c r="L16" s="7"/>
      <c r="M16" s="7"/>
      <c r="N16" s="8" t="str">
        <f aca="false">IF(COUNT(J16,L16)=0,"",SUM(J16,L16))</f>
        <v/>
      </c>
      <c r="O16" s="9" t="str">
        <f aca="false">IF(N16="","",RANK(N16,$N$6:$N$25))</f>
        <v/>
      </c>
    </row>
    <row r="17" customFormat="false" ht="26.85" hidden="false" customHeight="false" outlineLevel="0" collapsed="false">
      <c r="A17" s="10" t="n">
        <v>12</v>
      </c>
      <c r="B17" s="10" t="s">
        <v>40</v>
      </c>
      <c r="C17" s="10" t="s">
        <v>67</v>
      </c>
      <c r="D17" s="10" t="s">
        <v>68</v>
      </c>
      <c r="E17" s="10" t="n">
        <v>2001</v>
      </c>
      <c r="F17" s="10" t="s">
        <v>69</v>
      </c>
      <c r="G17" s="11" t="s">
        <v>70</v>
      </c>
      <c r="H17" s="10" t="s">
        <v>45</v>
      </c>
      <c r="I17" s="7"/>
      <c r="J17" s="7"/>
      <c r="K17" s="7"/>
      <c r="L17" s="7"/>
      <c r="M17" s="7"/>
      <c r="N17" s="8" t="str">
        <f aca="false">IF(COUNT(J17,L17)=0,"",SUM(J17,L17))</f>
        <v/>
      </c>
      <c r="O17" s="9" t="str">
        <f aca="false">IF(N17="","",RANK(N17,$N$6:$N$25))</f>
        <v/>
      </c>
    </row>
    <row r="18" customFormat="false" ht="26.85" hidden="false" customHeight="false" outlineLevel="0" collapsed="false">
      <c r="A18" s="10" t="n">
        <v>13</v>
      </c>
      <c r="B18" s="10" t="s">
        <v>40</v>
      </c>
      <c r="C18" s="10" t="s">
        <v>71</v>
      </c>
      <c r="D18" s="10" t="s">
        <v>72</v>
      </c>
      <c r="E18" s="10" t="n">
        <v>1984</v>
      </c>
      <c r="F18" s="10" t="s">
        <v>73</v>
      </c>
      <c r="G18" s="11" t="s">
        <v>74</v>
      </c>
      <c r="H18" s="10" t="s">
        <v>45</v>
      </c>
      <c r="I18" s="7"/>
      <c r="J18" s="7"/>
      <c r="K18" s="7"/>
      <c r="L18" s="7"/>
      <c r="M18" s="7"/>
      <c r="N18" s="8" t="str">
        <f aca="false">IF(COUNT(J18,L18)=0,"",SUM(J18,L18))</f>
        <v/>
      </c>
      <c r="O18" s="9" t="str">
        <f aca="false">IF(N18="","",RANK(N18,$N$6:$N$25))</f>
        <v/>
      </c>
    </row>
    <row r="19" customFormat="false" ht="26.85" hidden="false" customHeight="false" outlineLevel="0" collapsed="false">
      <c r="A19" s="10" t="n">
        <v>14</v>
      </c>
      <c r="B19" s="10" t="s">
        <v>40</v>
      </c>
      <c r="C19" s="10" t="s">
        <v>75</v>
      </c>
      <c r="D19" s="10" t="s">
        <v>76</v>
      </c>
      <c r="E19" s="10" t="n">
        <v>1992</v>
      </c>
      <c r="F19" s="10" t="s">
        <v>77</v>
      </c>
      <c r="G19" s="11" t="s">
        <v>78</v>
      </c>
      <c r="H19" s="10" t="s">
        <v>45</v>
      </c>
      <c r="I19" s="7"/>
      <c r="J19" s="7"/>
      <c r="K19" s="7"/>
      <c r="L19" s="7"/>
      <c r="M19" s="7"/>
      <c r="N19" s="8" t="str">
        <f aca="false">IF(COUNT(J19,L19)=0,"",SUM(J19,L19))</f>
        <v/>
      </c>
      <c r="O19" s="9" t="str">
        <f aca="false">IF(N19="","",RANK(N19,$N$6:$N$25))</f>
        <v/>
      </c>
    </row>
    <row r="20" customFormat="false" ht="26.85" hidden="false" customHeight="false" outlineLevel="0" collapsed="false">
      <c r="A20" s="10" t="n">
        <v>15</v>
      </c>
      <c r="B20" s="10" t="s">
        <v>40</v>
      </c>
      <c r="C20" s="10" t="s">
        <v>79</v>
      </c>
      <c r="D20" s="10" t="s">
        <v>80</v>
      </c>
      <c r="E20" s="10" t="n">
        <v>1971</v>
      </c>
      <c r="F20" s="10" t="s">
        <v>81</v>
      </c>
      <c r="G20" s="11" t="s">
        <v>82</v>
      </c>
      <c r="H20" s="10" t="s">
        <v>45</v>
      </c>
      <c r="I20" s="7"/>
      <c r="J20" s="7"/>
      <c r="K20" s="7"/>
      <c r="L20" s="7"/>
      <c r="M20" s="7"/>
      <c r="N20" s="8" t="str">
        <f aca="false">IF(COUNT(J20,L20)=0,"",SUM(J20,L20))</f>
        <v/>
      </c>
      <c r="O20" s="9" t="str">
        <f aca="false">IF(N20="","",RANK(N20,$N$6:$N$25))</f>
        <v/>
      </c>
    </row>
    <row r="21" customFormat="false" ht="26.85" hidden="false" customHeight="false" outlineLevel="0" collapsed="false">
      <c r="A21" s="10" t="n">
        <v>16</v>
      </c>
      <c r="B21" s="10" t="s">
        <v>40</v>
      </c>
      <c r="C21" s="10" t="s">
        <v>83</v>
      </c>
      <c r="D21" s="10" t="s">
        <v>84</v>
      </c>
      <c r="E21" s="10" t="n">
        <v>1972</v>
      </c>
      <c r="F21" s="10" t="s">
        <v>81</v>
      </c>
      <c r="G21" s="11" t="s">
        <v>85</v>
      </c>
      <c r="H21" s="10" t="s">
        <v>45</v>
      </c>
      <c r="I21" s="7"/>
      <c r="J21" s="7"/>
      <c r="K21" s="7"/>
      <c r="L21" s="7"/>
      <c r="M21" s="7"/>
      <c r="N21" s="8" t="str">
        <f aca="false">IF(COUNT(J21,L21)=0,"",SUM(J21,L21))</f>
        <v/>
      </c>
      <c r="O21" s="9" t="str">
        <f aca="false">IF(N21="","",RANK(N21,$N$6:$N$25))</f>
        <v/>
      </c>
    </row>
    <row r="22" customFormat="false" ht="26.85" hidden="false" customHeight="false" outlineLevel="0" collapsed="false">
      <c r="A22" s="10" t="n">
        <v>17</v>
      </c>
      <c r="B22" s="10" t="s">
        <v>40</v>
      </c>
      <c r="C22" s="10" t="s">
        <v>86</v>
      </c>
      <c r="D22" s="10" t="s">
        <v>87</v>
      </c>
      <c r="E22" s="10" t="n">
        <v>1997</v>
      </c>
      <c r="F22" s="10" t="s">
        <v>81</v>
      </c>
      <c r="G22" s="11" t="s">
        <v>88</v>
      </c>
      <c r="H22" s="10" t="s">
        <v>45</v>
      </c>
      <c r="I22" s="7"/>
      <c r="J22" s="7"/>
      <c r="K22" s="7"/>
      <c r="L22" s="7"/>
      <c r="M22" s="7"/>
      <c r="N22" s="8" t="str">
        <f aca="false">IF(COUNT(J22,L22)=0,"",SUM(J22,L22))</f>
        <v/>
      </c>
      <c r="O22" s="9" t="str">
        <f aca="false">IF(N22="","",RANK(N22,$N$6:$N$25))</f>
        <v/>
      </c>
    </row>
    <row r="23" customFormat="false" ht="26.85" hidden="false" customHeight="false" outlineLevel="0" collapsed="false">
      <c r="A23" s="10" t="n">
        <v>18</v>
      </c>
      <c r="B23" s="10" t="s">
        <v>40</v>
      </c>
      <c r="C23" s="10" t="s">
        <v>89</v>
      </c>
      <c r="D23" s="10" t="s">
        <v>90</v>
      </c>
      <c r="E23" s="10" t="n">
        <v>1985</v>
      </c>
      <c r="F23" s="10" t="s">
        <v>81</v>
      </c>
      <c r="G23" s="11" t="s">
        <v>91</v>
      </c>
      <c r="H23" s="10" t="s">
        <v>45</v>
      </c>
      <c r="I23" s="7"/>
      <c r="J23" s="7"/>
      <c r="K23" s="7"/>
      <c r="L23" s="7"/>
      <c r="M23" s="7"/>
      <c r="N23" s="8" t="str">
        <f aca="false">IF(COUNT(J23,L23)=0,"",SUM(J23,L23))</f>
        <v/>
      </c>
      <c r="O23" s="9" t="str">
        <f aca="false">IF(N23="","",RANK(N23,$N$6:$N$25))</f>
        <v/>
      </c>
    </row>
    <row r="24" customFormat="false" ht="26.85" hidden="false" customHeight="false" outlineLevel="0" collapsed="false">
      <c r="A24" s="10" t="n">
        <v>19</v>
      </c>
      <c r="B24" s="10" t="s">
        <v>40</v>
      </c>
      <c r="C24" s="10" t="s">
        <v>92</v>
      </c>
      <c r="D24" s="10" t="s">
        <v>93</v>
      </c>
      <c r="E24" s="10" t="n">
        <v>2019</v>
      </c>
      <c r="F24" s="10" t="s">
        <v>94</v>
      </c>
      <c r="G24" s="11" t="s">
        <v>95</v>
      </c>
      <c r="H24" s="10" t="s">
        <v>45</v>
      </c>
      <c r="I24" s="7"/>
      <c r="J24" s="7"/>
      <c r="K24" s="7"/>
      <c r="L24" s="7"/>
      <c r="M24" s="7"/>
      <c r="N24" s="8" t="str">
        <f aca="false">IF(COUNT(J24,L24)=0,"",SUM(J24,L24))</f>
        <v/>
      </c>
      <c r="O24" s="9" t="str">
        <f aca="false">IF(N24="","",RANK(N24,$N$6:$N$25))</f>
        <v/>
      </c>
    </row>
    <row r="25" customFormat="false" ht="26.85" hidden="false" customHeight="false" outlineLevel="0" collapsed="false">
      <c r="A25" s="10" t="n">
        <v>20</v>
      </c>
      <c r="B25" s="10" t="s">
        <v>40</v>
      </c>
      <c r="C25" s="10" t="s">
        <v>96</v>
      </c>
      <c r="D25" s="10" t="s">
        <v>97</v>
      </c>
      <c r="E25" s="10"/>
      <c r="F25" s="10" t="s">
        <v>98</v>
      </c>
      <c r="G25" s="11" t="s">
        <v>99</v>
      </c>
      <c r="H25" s="10" t="s">
        <v>100</v>
      </c>
      <c r="I25" s="7"/>
      <c r="J25" s="7"/>
      <c r="K25" s="7"/>
      <c r="L25" s="7"/>
      <c r="M25" s="7"/>
      <c r="N25" s="8" t="str">
        <f aca="false">IF(COUNT(J25,L25)=0,"",SUM(J25,L25))</f>
        <v/>
      </c>
      <c r="O25" s="9" t="str">
        <f aca="false">IF(N25="","",RANK(N25,$N$6:$N$25))</f>
        <v/>
      </c>
    </row>
  </sheetData>
  <autoFilter ref="A5:O25"/>
  <mergeCells count="2">
    <mergeCell ref="A2:N2"/>
    <mergeCell ref="A3:N3"/>
  </mergeCells>
  <hyperlinks>
    <hyperlink ref="G6" r:id="rId2" display="discogs.com/master/8883"/>
    <hyperlink ref="G7" r:id="rId3" display="discogs.com/master/403952"/>
    <hyperlink ref="G8" r:id="rId4" display="discogs.com/master/17468"/>
    <hyperlink ref="G9" r:id="rId5" display="discogs.com/master/2383843"/>
    <hyperlink ref="G10" r:id="rId6" display="discogs.com/master/74519"/>
    <hyperlink ref="G11" r:id="rId7" display="discogs.com/master/10362"/>
    <hyperlink ref="G12" r:id="rId8" display="discogs.com/master/7941"/>
    <hyperlink ref="G13" r:id="rId9" display="discogs.com/master/13814"/>
    <hyperlink ref="G14" r:id="rId10" display="discogs.com/master/18080"/>
    <hyperlink ref="G15" r:id="rId11" display="discogs.com/master/6651"/>
    <hyperlink ref="G16" r:id="rId12" display="discogs.com/master/24047"/>
    <hyperlink ref="G17" r:id="rId13" display="discogs.com/master/95285"/>
    <hyperlink ref="G18" r:id="rId14" display="discogs.com/master/43936"/>
    <hyperlink ref="G19" r:id="rId15" display="discogs.com/master/12249"/>
    <hyperlink ref="G20" r:id="rId16" display="discogs.com/master/4300"/>
    <hyperlink ref="G21" r:id="rId17" display="discogs.com/master/1843"/>
    <hyperlink ref="G22" r:id="rId18" display="discogs.com/master/12165"/>
    <hyperlink ref="G23" r:id="rId19" display="discogs.com/master/23667"/>
    <hyperlink ref="G24" r:id="rId20" display="discogs.com/master/1524311"/>
    <hyperlink ref="G25" r:id="rId21" display="discogs.com/artist/36543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2"/>
  <legacyDrawing r:id="rId2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4" min="4" style="0" width="6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8" min="8" style="0" width="15"/>
    <col collapsed="false" customWidth="true" hidden="false" outlineLevel="0" max="9" min="9" style="0" width="24"/>
  </cols>
  <sheetData>
    <row r="1" customFormat="false" ht="16.15" hidden="false" customHeight="false" outlineLevel="0" collapsed="false">
      <c r="A1" s="1" t="s">
        <v>101</v>
      </c>
    </row>
    <row r="2" customFormat="false" ht="15" hidden="false" customHeight="false" outlineLevel="0" collapsed="false">
      <c r="A2" s="12" t="s">
        <v>102</v>
      </c>
    </row>
    <row r="4" customFormat="false" ht="26.85" hidden="false" customHeight="false" outlineLevel="0" collapsed="false">
      <c r="A4" s="4" t="s">
        <v>3</v>
      </c>
      <c r="B4" s="4" t="s">
        <v>5</v>
      </c>
      <c r="C4" s="4" t="s">
        <v>6</v>
      </c>
      <c r="D4" s="4" t="s">
        <v>7</v>
      </c>
      <c r="E4" s="4" t="s">
        <v>103</v>
      </c>
      <c r="F4" s="4" t="s">
        <v>104</v>
      </c>
      <c r="G4" s="4" t="s">
        <v>105</v>
      </c>
      <c r="H4" s="4" t="s">
        <v>106</v>
      </c>
      <c r="I4" s="4" t="s">
        <v>9</v>
      </c>
    </row>
    <row r="5" customFormat="false" ht="15" hidden="false" customHeight="false" outlineLevel="0" collapsed="false">
      <c r="A5" s="9" t="n">
        <v>1</v>
      </c>
      <c r="B5" s="9" t="s">
        <v>19</v>
      </c>
      <c r="C5" s="9" t="s">
        <v>20</v>
      </c>
      <c r="D5" s="9" t="n">
        <v>1982</v>
      </c>
      <c r="E5" s="9" t="s">
        <v>107</v>
      </c>
      <c r="F5" s="13" t="n">
        <v>70</v>
      </c>
      <c r="G5" s="13" t="n">
        <v>51.4</v>
      </c>
      <c r="H5" s="14" t="n">
        <f aca="false">G5/F5</f>
        <v>0.734285714285714</v>
      </c>
      <c r="I5" s="15" t="s">
        <v>22</v>
      </c>
    </row>
    <row r="6" customFormat="false" ht="15" hidden="false" customHeight="false" outlineLevel="0" collapsed="false">
      <c r="A6" s="9" t="n">
        <v>2</v>
      </c>
      <c r="B6" s="9" t="s">
        <v>108</v>
      </c>
      <c r="C6" s="9" t="s">
        <v>109</v>
      </c>
      <c r="D6" s="9" t="n">
        <v>1980</v>
      </c>
      <c r="E6" s="9" t="s">
        <v>107</v>
      </c>
      <c r="F6" s="13" t="n">
        <v>50</v>
      </c>
      <c r="G6" s="13" t="n">
        <v>31.2</v>
      </c>
      <c r="H6" s="14" t="n">
        <f aca="false">G6/F6</f>
        <v>0.624</v>
      </c>
      <c r="I6" s="15" t="s">
        <v>110</v>
      </c>
    </row>
    <row r="7" customFormat="false" ht="15" hidden="false" customHeight="false" outlineLevel="0" collapsed="false">
      <c r="A7" s="9" t="n">
        <v>3</v>
      </c>
      <c r="B7" s="9" t="s">
        <v>111</v>
      </c>
      <c r="C7" s="9" t="s">
        <v>112</v>
      </c>
      <c r="D7" s="9" t="n">
        <v>1992</v>
      </c>
      <c r="E7" s="9" t="s">
        <v>113</v>
      </c>
      <c r="F7" s="13" t="n">
        <v>45</v>
      </c>
      <c r="G7" s="13" t="n">
        <v>29.7</v>
      </c>
      <c r="H7" s="14" t="n">
        <f aca="false">G7/F7</f>
        <v>0.66</v>
      </c>
      <c r="I7" s="15" t="s">
        <v>114</v>
      </c>
    </row>
    <row r="8" customFormat="false" ht="15" hidden="false" customHeight="false" outlineLevel="0" collapsed="false">
      <c r="A8" s="9" t="n">
        <v>4</v>
      </c>
      <c r="B8" s="9" t="s">
        <v>41</v>
      </c>
      <c r="C8" s="9" t="s">
        <v>42</v>
      </c>
      <c r="D8" s="9" t="n">
        <v>1973</v>
      </c>
      <c r="E8" s="9" t="s">
        <v>107</v>
      </c>
      <c r="F8" s="13" t="n">
        <v>45</v>
      </c>
      <c r="G8" s="13" t="n">
        <v>25.7</v>
      </c>
      <c r="H8" s="14" t="n">
        <f aca="false">G8/F8</f>
        <v>0.571111111111111</v>
      </c>
      <c r="I8" s="15" t="s">
        <v>44</v>
      </c>
    </row>
    <row r="9" customFormat="false" ht="15" hidden="false" customHeight="false" outlineLevel="0" collapsed="false">
      <c r="A9" s="9" t="n">
        <v>5</v>
      </c>
      <c r="B9" s="9" t="s">
        <v>115</v>
      </c>
      <c r="C9" s="9" t="s">
        <v>116</v>
      </c>
      <c r="D9" s="9" t="n">
        <v>1976</v>
      </c>
      <c r="E9" s="9" t="s">
        <v>107</v>
      </c>
      <c r="F9" s="13" t="n">
        <v>44</v>
      </c>
      <c r="G9" s="13" t="n">
        <v>43.2</v>
      </c>
      <c r="H9" s="14" t="n">
        <f aca="false">G9/F9</f>
        <v>0.981818181818182</v>
      </c>
      <c r="I9" s="15" t="s">
        <v>117</v>
      </c>
    </row>
    <row r="10" customFormat="false" ht="15" hidden="false" customHeight="false" outlineLevel="0" collapsed="false">
      <c r="A10" s="9" t="n">
        <v>6</v>
      </c>
      <c r="B10" s="9" t="s">
        <v>115</v>
      </c>
      <c r="C10" s="9" t="s">
        <v>118</v>
      </c>
      <c r="D10" s="9" t="n">
        <v>1976</v>
      </c>
      <c r="E10" s="9" t="s">
        <v>107</v>
      </c>
      <c r="F10" s="13" t="n">
        <v>42</v>
      </c>
      <c r="G10" s="13" t="n">
        <v>33.8</v>
      </c>
      <c r="H10" s="14" t="n">
        <f aca="false">G10/F10</f>
        <v>0.804761904761905</v>
      </c>
      <c r="I10" s="15" t="s">
        <v>119</v>
      </c>
    </row>
    <row r="11" customFormat="false" ht="15" hidden="false" customHeight="false" outlineLevel="0" collapsed="false">
      <c r="A11" s="9" t="n">
        <v>7</v>
      </c>
      <c r="B11" s="9" t="s">
        <v>120</v>
      </c>
      <c r="C11" s="9" t="s">
        <v>121</v>
      </c>
      <c r="D11" s="9" t="n">
        <v>1997</v>
      </c>
      <c r="E11" s="9" t="s">
        <v>113</v>
      </c>
      <c r="F11" s="13" t="n">
        <v>40</v>
      </c>
      <c r="G11" s="13" t="n">
        <v>30.7</v>
      </c>
      <c r="H11" s="14" t="n">
        <f aca="false">G11/F11</f>
        <v>0.7675</v>
      </c>
      <c r="I11" s="15" t="s">
        <v>122</v>
      </c>
    </row>
    <row r="12" customFormat="false" ht="15" hidden="false" customHeight="false" outlineLevel="0" collapsed="false">
      <c r="A12" s="9" t="n">
        <v>8</v>
      </c>
      <c r="B12" s="9" t="s">
        <v>123</v>
      </c>
      <c r="C12" s="9" t="s">
        <v>124</v>
      </c>
      <c r="D12" s="9" t="n">
        <v>1977</v>
      </c>
      <c r="E12" s="9" t="s">
        <v>107</v>
      </c>
      <c r="F12" s="13" t="n">
        <v>40</v>
      </c>
      <c r="G12" s="13" t="n">
        <v>30.3</v>
      </c>
      <c r="H12" s="14" t="n">
        <f aca="false">G12/F12</f>
        <v>0.7575</v>
      </c>
      <c r="I12" s="15" t="s">
        <v>125</v>
      </c>
    </row>
    <row r="13" customFormat="false" ht="15" hidden="false" customHeight="false" outlineLevel="0" collapsed="false">
      <c r="A13" s="9" t="n">
        <v>9</v>
      </c>
      <c r="B13" s="9" t="s">
        <v>126</v>
      </c>
      <c r="C13" s="9" t="s">
        <v>127</v>
      </c>
      <c r="D13" s="9" t="n">
        <v>1977</v>
      </c>
      <c r="E13" s="9" t="s">
        <v>107</v>
      </c>
      <c r="F13" s="13" t="n">
        <v>40</v>
      </c>
      <c r="G13" s="13" t="n">
        <v>22</v>
      </c>
      <c r="H13" s="14" t="n">
        <f aca="false">G13/F13</f>
        <v>0.55</v>
      </c>
      <c r="I13" s="15" t="s">
        <v>128</v>
      </c>
    </row>
    <row r="14" customFormat="false" ht="15" hidden="false" customHeight="false" outlineLevel="0" collapsed="false">
      <c r="A14" s="9" t="n">
        <v>10</v>
      </c>
      <c r="B14" s="9" t="s">
        <v>129</v>
      </c>
      <c r="C14" s="9" t="s">
        <v>130</v>
      </c>
      <c r="D14" s="9" t="n">
        <v>1977</v>
      </c>
      <c r="E14" s="9" t="s">
        <v>107</v>
      </c>
      <c r="F14" s="13" t="n">
        <v>40</v>
      </c>
      <c r="G14" s="13" t="n">
        <v>22.1</v>
      </c>
      <c r="H14" s="14" t="n">
        <f aca="false">G14/F14</f>
        <v>0.5525</v>
      </c>
      <c r="I14" s="15" t="s">
        <v>131</v>
      </c>
    </row>
    <row r="15" customFormat="false" ht="15" hidden="false" customHeight="false" outlineLevel="0" collapsed="false">
      <c r="A15" s="9" t="n">
        <v>11</v>
      </c>
      <c r="B15" s="9" t="s">
        <v>79</v>
      </c>
      <c r="C15" s="9" t="s">
        <v>80</v>
      </c>
      <c r="D15" s="9" t="n">
        <v>1971</v>
      </c>
      <c r="E15" s="9" t="s">
        <v>107</v>
      </c>
      <c r="F15" s="13" t="n">
        <v>37</v>
      </c>
      <c r="G15" s="13" t="n">
        <v>30.4</v>
      </c>
      <c r="H15" s="14" t="n">
        <f aca="false">G15/F15</f>
        <v>0.821621621621622</v>
      </c>
      <c r="I15" s="15" t="s">
        <v>82</v>
      </c>
    </row>
    <row r="16" customFormat="false" ht="15" hidden="false" customHeight="false" outlineLevel="0" collapsed="false">
      <c r="A16" s="9" t="n">
        <v>12</v>
      </c>
      <c r="B16" s="9" t="s">
        <v>19</v>
      </c>
      <c r="C16" s="9" t="s">
        <v>132</v>
      </c>
      <c r="D16" s="9" t="n">
        <v>1987</v>
      </c>
      <c r="E16" s="9" t="s">
        <v>133</v>
      </c>
      <c r="F16" s="13" t="n">
        <v>35</v>
      </c>
      <c r="G16" s="13" t="n">
        <v>21.5</v>
      </c>
      <c r="H16" s="14" t="n">
        <f aca="false">G16/F16</f>
        <v>0.614285714285714</v>
      </c>
      <c r="I16" s="15" t="s">
        <v>134</v>
      </c>
    </row>
    <row r="17" customFormat="false" ht="15" hidden="false" customHeight="false" outlineLevel="0" collapsed="false">
      <c r="A17" s="9" t="n">
        <v>13</v>
      </c>
      <c r="B17" s="9" t="s">
        <v>135</v>
      </c>
      <c r="C17" s="9" t="s">
        <v>136</v>
      </c>
      <c r="D17" s="9" t="n">
        <v>1995</v>
      </c>
      <c r="E17" s="9" t="s">
        <v>113</v>
      </c>
      <c r="F17" s="13" t="n">
        <v>33</v>
      </c>
      <c r="G17" s="13" t="n">
        <v>26.4</v>
      </c>
      <c r="H17" s="14" t="n">
        <f aca="false">G17/F17</f>
        <v>0.8</v>
      </c>
      <c r="I17" s="15" t="s">
        <v>137</v>
      </c>
    </row>
    <row r="18" customFormat="false" ht="15" hidden="false" customHeight="false" outlineLevel="0" collapsed="false">
      <c r="A18" s="9" t="n">
        <v>14</v>
      </c>
      <c r="B18" s="9" t="s">
        <v>28</v>
      </c>
      <c r="C18" s="9" t="s">
        <v>138</v>
      </c>
      <c r="D18" s="9" t="n">
        <v>1987</v>
      </c>
      <c r="E18" s="9" t="s">
        <v>133</v>
      </c>
      <c r="F18" s="13" t="n">
        <v>32</v>
      </c>
      <c r="G18" s="13" t="n">
        <v>24.1</v>
      </c>
      <c r="H18" s="14" t="n">
        <f aca="false">G18/F18</f>
        <v>0.753125</v>
      </c>
      <c r="I18" s="15" t="s">
        <v>139</v>
      </c>
    </row>
    <row r="19" customFormat="false" ht="15" hidden="false" customHeight="false" outlineLevel="0" collapsed="false">
      <c r="A19" s="9" t="n">
        <v>15</v>
      </c>
      <c r="B19" s="9" t="s">
        <v>140</v>
      </c>
      <c r="C19" s="9" t="s">
        <v>141</v>
      </c>
      <c r="D19" s="9" t="n">
        <v>1996</v>
      </c>
      <c r="E19" s="9" t="s">
        <v>113</v>
      </c>
      <c r="F19" s="13" t="n">
        <v>32</v>
      </c>
      <c r="G19" s="13" t="n">
        <v>21.1</v>
      </c>
      <c r="H19" s="14" t="n">
        <f aca="false">G19/F19</f>
        <v>0.659375</v>
      </c>
      <c r="I19" s="15" t="s">
        <v>142</v>
      </c>
    </row>
    <row r="20" customFormat="false" ht="15" hidden="false" customHeight="false" outlineLevel="0" collapsed="false">
      <c r="A20" s="9" t="n">
        <v>16</v>
      </c>
      <c r="B20" s="9" t="s">
        <v>19</v>
      </c>
      <c r="C20" s="9" t="s">
        <v>143</v>
      </c>
      <c r="D20" s="9" t="n">
        <v>1991</v>
      </c>
      <c r="E20" s="9" t="s">
        <v>113</v>
      </c>
      <c r="F20" s="13" t="n">
        <v>32</v>
      </c>
      <c r="G20" s="13" t="n">
        <v>17</v>
      </c>
      <c r="H20" s="14" t="n">
        <f aca="false">G20/F20</f>
        <v>0.53125</v>
      </c>
      <c r="I20" s="15" t="s">
        <v>144</v>
      </c>
    </row>
    <row r="21" customFormat="false" ht="15" hidden="false" customHeight="false" outlineLevel="0" collapsed="false">
      <c r="A21" s="9" t="n">
        <v>17</v>
      </c>
      <c r="B21" s="9" t="s">
        <v>32</v>
      </c>
      <c r="C21" s="9" t="s">
        <v>145</v>
      </c>
      <c r="D21" s="9" t="n">
        <v>2011</v>
      </c>
      <c r="E21" s="9" t="s">
        <v>146</v>
      </c>
      <c r="F21" s="13" t="n">
        <v>31</v>
      </c>
      <c r="G21" s="13" t="n">
        <v>30.4</v>
      </c>
      <c r="H21" s="14" t="n">
        <f aca="false">G21/F21</f>
        <v>0.980645161290323</v>
      </c>
      <c r="I21" s="15" t="s">
        <v>147</v>
      </c>
    </row>
    <row r="22" customFormat="false" ht="15" hidden="false" customHeight="false" outlineLevel="0" collapsed="false">
      <c r="A22" s="9" t="n">
        <v>18</v>
      </c>
      <c r="B22" s="9" t="s">
        <v>63</v>
      </c>
      <c r="C22" s="9" t="s">
        <v>148</v>
      </c>
      <c r="D22" s="9" t="n">
        <v>2000</v>
      </c>
      <c r="E22" s="9" t="s">
        <v>113</v>
      </c>
      <c r="F22" s="13" t="n">
        <v>31</v>
      </c>
      <c r="G22" s="13" t="n">
        <v>23.2</v>
      </c>
      <c r="H22" s="14" t="n">
        <f aca="false">G22/F22</f>
        <v>0.748387096774194</v>
      </c>
      <c r="I22" s="15" t="s">
        <v>149</v>
      </c>
    </row>
    <row r="23" customFormat="false" ht="15" hidden="false" customHeight="false" outlineLevel="0" collapsed="false">
      <c r="A23" s="9" t="n">
        <v>19</v>
      </c>
      <c r="B23" s="9" t="s">
        <v>59</v>
      </c>
      <c r="C23" s="9" t="s">
        <v>60</v>
      </c>
      <c r="D23" s="9" t="n">
        <v>1991</v>
      </c>
      <c r="E23" s="9" t="s">
        <v>113</v>
      </c>
      <c r="F23" s="13" t="n">
        <v>31</v>
      </c>
      <c r="G23" s="13" t="n">
        <v>27</v>
      </c>
      <c r="H23" s="14" t="n">
        <f aca="false">G23/F23</f>
        <v>0.870967741935484</v>
      </c>
      <c r="I23" s="15" t="s">
        <v>62</v>
      </c>
    </row>
    <row r="24" customFormat="false" ht="15" hidden="false" customHeight="false" outlineLevel="0" collapsed="false">
      <c r="A24" s="9" t="n">
        <v>20</v>
      </c>
      <c r="B24" s="9" t="s">
        <v>140</v>
      </c>
      <c r="C24" s="9" t="s">
        <v>150</v>
      </c>
      <c r="D24" s="9" t="n">
        <v>1997</v>
      </c>
      <c r="E24" s="9" t="s">
        <v>113</v>
      </c>
      <c r="F24" s="13" t="n">
        <v>31</v>
      </c>
      <c r="G24" s="13" t="n">
        <v>20.5</v>
      </c>
      <c r="H24" s="14" t="n">
        <f aca="false">G24/F24</f>
        <v>0.661290322580645</v>
      </c>
      <c r="I24" s="15" t="s">
        <v>151</v>
      </c>
    </row>
    <row r="25" customFormat="false" ht="15" hidden="false" customHeight="false" outlineLevel="0" collapsed="false">
      <c r="A25" s="16" t="s">
        <v>152</v>
      </c>
      <c r="B25" s="16" t="s">
        <v>50</v>
      </c>
      <c r="C25" s="16" t="s">
        <v>153</v>
      </c>
      <c r="D25" s="16" t="n">
        <v>1991</v>
      </c>
      <c r="E25" s="16" t="s">
        <v>113</v>
      </c>
      <c r="F25" s="17" t="n">
        <v>30</v>
      </c>
      <c r="G25" s="17" t="n">
        <v>24.8</v>
      </c>
      <c r="H25" s="18" t="n">
        <f aca="false">G25/F25</f>
        <v>0.826666666666667</v>
      </c>
      <c r="I25" s="19" t="s">
        <v>53</v>
      </c>
    </row>
  </sheetData>
  <hyperlinks>
    <hyperlink ref="I5" r:id="rId1" display="discogs.com/master/8883"/>
    <hyperlink ref="I6" r:id="rId2" display="discogs.com/master/8471"/>
    <hyperlink ref="I7" r:id="rId3" display="discogs.com/master/61126"/>
    <hyperlink ref="I8" r:id="rId4" display="discogs.com/master/10362"/>
    <hyperlink ref="I9" r:id="rId5" display="discogs.com/master/59509"/>
    <hyperlink ref="I10" r:id="rId6" display="discogs.com/master/59501"/>
    <hyperlink ref="I11" r:id="rId7" display="discogs.com/master/132556"/>
    <hyperlink ref="I12" r:id="rId8" display="discogs.com/master/38722"/>
    <hyperlink ref="I13" r:id="rId9" display="discogs.com/master/23069"/>
    <hyperlink ref="I14" r:id="rId10" display="discogs.com/master/23443"/>
    <hyperlink ref="I15" r:id="rId11" display="discogs.com/master/4300"/>
    <hyperlink ref="I16" r:id="rId12" display="discogs.com/master/8517"/>
    <hyperlink ref="I17" r:id="rId13" display="discogs.com/master/31513"/>
    <hyperlink ref="I18" r:id="rId14" display="discogs.com/master/58585"/>
    <hyperlink ref="I19" r:id="rId15" display="discogs.com/master/134816"/>
    <hyperlink ref="I20" r:id="rId16" display="discogs.com/master/14641"/>
    <hyperlink ref="I21" r:id="rId17" display="discogs.com/master/303567"/>
    <hyperlink ref="I22" r:id="rId18" display="discogs.com/master/447254"/>
    <hyperlink ref="I23" r:id="rId19" display="discogs.com/master/6651"/>
    <hyperlink ref="I24" r:id="rId20" display="discogs.com/master/133278"/>
    <hyperlink ref="I25" r:id="rId21" display="discogs.com/master/13814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70"/>
    <col collapsed="false" customWidth="true" hidden="false" outlineLevel="0" max="3" min="3" style="0" width="12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4" t="s">
        <v>154</v>
      </c>
      <c r="B1" s="4" t="s">
        <v>155</v>
      </c>
      <c r="C1" s="4" t="s">
        <v>156</v>
      </c>
      <c r="D1" s="4" t="s">
        <v>157</v>
      </c>
    </row>
    <row r="2" customFormat="false" ht="39.55" hidden="false" customHeight="false" outlineLevel="0" collapsed="false">
      <c r="A2" s="20" t="s">
        <v>158</v>
      </c>
      <c r="B2" s="20" t="s">
        <v>159</v>
      </c>
      <c r="C2" s="20" t="s">
        <v>160</v>
      </c>
      <c r="D2" s="21" t="s">
        <v>161</v>
      </c>
    </row>
    <row r="3" customFormat="false" ht="26.85" hidden="false" customHeight="false" outlineLevel="0" collapsed="false">
      <c r="A3" s="20" t="s">
        <v>162</v>
      </c>
      <c r="B3" s="20" t="s">
        <v>163</v>
      </c>
      <c r="C3" s="20" t="s">
        <v>164</v>
      </c>
      <c r="D3" s="21" t="s">
        <v>165</v>
      </c>
    </row>
    <row r="4" customFormat="false" ht="26.85" hidden="false" customHeight="false" outlineLevel="0" collapsed="false">
      <c r="A4" s="20" t="s">
        <v>166</v>
      </c>
      <c r="B4" s="20" t="s">
        <v>167</v>
      </c>
      <c r="C4" s="20" t="s">
        <v>168</v>
      </c>
      <c r="D4" s="21" t="s">
        <v>169</v>
      </c>
    </row>
    <row r="5" customFormat="false" ht="15" hidden="false" customHeight="false" outlineLevel="0" collapsed="false">
      <c r="A5" s="20" t="s">
        <v>170</v>
      </c>
      <c r="B5" s="20" t="s">
        <v>171</v>
      </c>
      <c r="C5" s="20" t="s">
        <v>172</v>
      </c>
      <c r="D5" s="21" t="s">
        <v>173</v>
      </c>
    </row>
    <row r="6" customFormat="false" ht="15" hidden="false" customHeight="false" outlineLevel="0" collapsed="false">
      <c r="A6" s="20" t="s">
        <v>174</v>
      </c>
      <c r="B6" s="20" t="s">
        <v>175</v>
      </c>
      <c r="C6" s="20" t="s">
        <v>172</v>
      </c>
      <c r="D6" s="21" t="s">
        <v>176</v>
      </c>
    </row>
    <row r="7" customFormat="false" ht="26.85" hidden="false" customHeight="false" outlineLevel="0" collapsed="false">
      <c r="A7" s="20" t="s">
        <v>177</v>
      </c>
      <c r="B7" s="20" t="s">
        <v>178</v>
      </c>
      <c r="C7" s="20" t="s">
        <v>179</v>
      </c>
      <c r="D7" s="21" t="s">
        <v>180</v>
      </c>
    </row>
    <row r="8" customFormat="false" ht="15" hidden="false" customHeight="false" outlineLevel="0" collapsed="false">
      <c r="A8" s="20" t="s">
        <v>181</v>
      </c>
      <c r="B8" s="20" t="s">
        <v>182</v>
      </c>
      <c r="C8" s="20" t="s">
        <v>172</v>
      </c>
      <c r="D8" s="21" t="s">
        <v>183</v>
      </c>
    </row>
  </sheetData>
  <hyperlinks>
    <hyperlink ref="D2" r:id="rId1" display="https://finance.rambler.ru/money/56926732-veduschie-marketpleysy-raskryli-dannye-prodazh-vinilovyh-plastinok/"/>
    <hyperlink ref="D3" r:id="rId2" display="https://t-j.ru/vinil-stat/"/>
    <hyperlink ref="D4" r:id="rId3" display="https://www.kommersant.ru/doc/8556506"/>
    <hyperlink ref="D5" r:id="rId4" display="https://www.ozon.ru/category/importnye-vinilovye-plastinki/"/>
    <hyperlink ref="D6" r:id="rId5" display="https://en.wikipedia.org/wiki/List_of_best-selling_albums"/>
    <hyperlink ref="D7" r:id="rId6" display="https://www.officialcharts.com/chart-news/the-official-top-40-best-selling-vinyl-albums-of-the-21st-century-from-the-1970s-80s-and/"/>
    <hyperlink ref="D8" r:id="rId7" display="https://www.discogs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2026-10-24T03:39:25Z</dcterms:created>
  <dc:creator>openpyxl</dc:creator>
  <dc:description/>
  <dc:language>en-US</dc:language>
  <cp:lastModifiedBy/>
  <dcterms:modified xsi:type="dcterms:W3CDTF">2026-10-24T03:39:25Z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